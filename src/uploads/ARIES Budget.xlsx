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F20" i="1" l="1"/>
  <c r="F21" i="1" s="1"/>
  <c r="F25" i="1" s="1"/>
  <c r="F27" i="1" s="1"/>
  <c r="G20" i="1" l="1"/>
  <c r="G21" i="1" s="1"/>
  <c r="G25" i="1" s="1"/>
  <c r="G27" i="1" s="1"/>
  <c r="E20" i="1"/>
  <c r="D20" i="1"/>
  <c r="D21" i="1" s="1"/>
  <c r="D25" i="1" s="1"/>
  <c r="D27" i="1" s="1"/>
  <c r="E21" i="1" l="1"/>
  <c r="E25" i="1" s="1"/>
  <c r="E27" i="1" s="1"/>
</calcChain>
</file>

<file path=xl/sharedStrings.xml><?xml version="1.0" encoding="utf-8"?>
<sst xmlns="http://schemas.openxmlformats.org/spreadsheetml/2006/main" count="35" uniqueCount="35">
  <si>
    <t>WP1</t>
  </si>
  <si>
    <t>Project and Innovation Management</t>
  </si>
  <si>
    <t>Procedural, ethical, legal &amp; societal requirements for ID ecosystem</t>
  </si>
  <si>
    <t>Strengthening the technology for ID</t>
  </si>
  <si>
    <t>Demonstrators integration &amp; evaluation</t>
  </si>
  <si>
    <t>Design, communication and exploitation of ecosystem for identity services</t>
  </si>
  <si>
    <t>Dissemination and Standardization</t>
  </si>
  <si>
    <t>WP2</t>
  </si>
  <si>
    <t>WP3</t>
  </si>
  <si>
    <t>WP4</t>
  </si>
  <si>
    <t>WP5</t>
  </si>
  <si>
    <t>WP6</t>
  </si>
  <si>
    <t>Task 1.4 - Project reporting</t>
  </si>
  <si>
    <t>T2.1 - Functional requirements for ID ecosystem</t>
  </si>
  <si>
    <t>T2.2 – Societal and Ethics Evaluation of ID and threats</t>
  </si>
  <si>
    <t>Task 4.2 - Prototype Demonstration and Evaluation Plan</t>
  </si>
  <si>
    <t>Task 4.3 - Secure eCommerce prototype demonstrator</t>
  </si>
  <si>
    <t>E-commerce</t>
  </si>
  <si>
    <t>Inovação</t>
  </si>
  <si>
    <t>Task 4.5 - Evaluation and Validation</t>
  </si>
  <si>
    <t>Task 5.2 - Exploitation Plan and Report</t>
  </si>
  <si>
    <t>Task 5.3 - Communication activities &amp; Public Web Presence</t>
  </si>
  <si>
    <t>Task 6.1 - Engaging scientific and technical community: Dissemination</t>
  </si>
  <si>
    <t>SONAE Cost (€) Justification</t>
  </si>
  <si>
    <t>Travel</t>
  </si>
  <si>
    <t>Travel and accommodation for 12 meetings (1 annual review + 2 GA meetings + 1 conference/workshop) for each year</t>
  </si>
  <si>
    <t>Organizing a hands-on workshop for potential ARIES technology</t>
  </si>
  <si>
    <t>Other</t>
  </si>
  <si>
    <t>Total MM</t>
  </si>
  <si>
    <t>Total Cost</t>
  </si>
  <si>
    <t>Indirect costs (25%)</t>
  </si>
  <si>
    <t>Workpackages &amp; Activities</t>
  </si>
  <si>
    <t>Total</t>
  </si>
  <si>
    <t>BIT</t>
  </si>
  <si>
    <t>Sonae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</si>
</sst>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0" fillId="0" borderId="0" xfId="0" applyBorder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2" fillId="2" borderId="4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44" fontId="0" fillId="0" borderId="6" xfId="1" applyFont="1" applyBorder="1"/>
    <xf numFmtId="44" fontId="0" fillId="0" borderId="4" xfId="1" applyFont="1" applyBorder="1"/>
    <xf numFmtId="44" fontId="2" fillId="0" borderId="4" xfId="1" applyFont="1" applyBorder="1"/>
    <xf numFmtId="0" fontId="2" fillId="2" borderId="8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4" fontId="0" fillId="0" borderId="10" xfId="1" applyFont="1" applyBorder="1"/>
    <xf numFmtId="44" fontId="0" fillId="0" borderId="8" xfId="1" applyFont="1" applyBorder="1"/>
    <xf numFmtId="44" fontId="2" fillId="0" borderId="8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317500</xdr:colOff>
      <xdr:row>0</xdr:row>
      <xdr:rowOff>25891</xdr:rowOff>
    </xdr:from>
    <xdr:to>
      <xdr:col>8</xdr:col>
      <xdr:colOff>10584</xdr:colOff>
      <xdr:row>2</xdr:row>
      <xdr:rowOff>148132</xdr:rowOff>
    </xdr:to>
    <xdr:pic>
      <xdr:nvPicPr>
        <xdr:cNvPr id="2" name="Pictur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3583" y="25891"/>
          <a:ext cx="1735667" cy="503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4:H27"/>
  <sheetViews>
    <sheetView showGridLines="0" tabSelected="1" zoomScale="90" zoomScaleNormal="90" workbookViewId="0">
      <selection activeCell="J17" sqref="J17"/>
    </sheetView>
  </sheetViews>
  <sheetFormatPr defaultRowHeight="15" outlineLevelRow="1" x14ac:dyDescent="0.25"/>
  <cols>
    <col min="2" max="2" width="6.42578125" bestFit="1" customWidth="1"/>
    <col min="3" max="3" width="103.5703125" customWidth="1"/>
    <col min="4" max="4" width="13.85546875" bestFit="1" customWidth="1"/>
    <col min="5" max="5" width="12.7109375" bestFit="1" customWidth="1"/>
    <col min="6" max="6" width="12.7109375" customWidth="1"/>
    <col min="7" max="7" width="12.7109375" bestFit="1" customWidth="1"/>
    <col min="8" max="8" width="18" customWidth="1"/>
  </cols>
  <sheetData>
    <row r="4" spans="2:8" x14ac:dyDescent="0.25">
      <c r="B4" s="2"/>
      <c r="C4" s="3" t="s">
        <v>31</v>
      </c>
      <c r="D4" s="8" t="s">
        <v>34</v>
      </c>
      <c r="E4" s="16" t="s">
        <v>17</v>
      </c>
      <c r="F4" s="16" t="s">
        <v>33</v>
      </c>
      <c r="G4" s="16" t="s">
        <v>18</v>
      </c>
      <c r="H4" s="2"/>
    </row>
    <row r="5" spans="2:8" x14ac:dyDescent="0.25">
      <c r="B5" t="s">
        <v>0</v>
      </c>
      <c r="C5" t="s">
        <v>1</v>
      </c>
      <c r="D5" s="9">
        <v>0.5</v>
      </c>
      <c r="E5" s="17"/>
      <c r="F5" s="17"/>
      <c r="G5" s="17">
        <v>0.5</v>
      </c>
    </row>
    <row r="6" spans="2:8" outlineLevel="1" x14ac:dyDescent="0.25">
      <c r="C6" t="s">
        <v>12</v>
      </c>
      <c r="D6" s="9"/>
      <c r="E6" s="17"/>
      <c r="F6" s="17"/>
      <c r="G6" s="17"/>
    </row>
    <row r="7" spans="2:8" x14ac:dyDescent="0.25">
      <c r="B7" s="6" t="s">
        <v>7</v>
      </c>
      <c r="C7" s="6" t="s">
        <v>2</v>
      </c>
      <c r="D7" s="10">
        <v>3</v>
      </c>
      <c r="E7" s="18">
        <v>2</v>
      </c>
      <c r="F7" s="18">
        <v>1</v>
      </c>
      <c r="G7" s="18"/>
      <c r="H7" s="6"/>
    </row>
    <row r="8" spans="2:8" outlineLevel="1" x14ac:dyDescent="0.25">
      <c r="B8" s="4"/>
      <c r="C8" s="4" t="s">
        <v>13</v>
      </c>
      <c r="D8" s="9"/>
      <c r="E8" s="17"/>
      <c r="F8" s="17"/>
      <c r="G8" s="17"/>
      <c r="H8" s="4"/>
    </row>
    <row r="9" spans="2:8" outlineLevel="1" x14ac:dyDescent="0.25">
      <c r="B9" s="5"/>
      <c r="C9" s="5" t="s">
        <v>14</v>
      </c>
      <c r="D9" s="11"/>
      <c r="E9" s="19"/>
      <c r="F9" s="19"/>
      <c r="G9" s="19"/>
      <c r="H9" s="5"/>
    </row>
    <row r="10" spans="2:8" x14ac:dyDescent="0.25">
      <c r="B10" s="7" t="s">
        <v>8</v>
      </c>
      <c r="C10" s="7" t="s">
        <v>3</v>
      </c>
      <c r="D10" s="12">
        <v>0</v>
      </c>
      <c r="E10" s="20"/>
      <c r="F10" s="20"/>
      <c r="G10" s="20"/>
      <c r="H10" s="7"/>
    </row>
    <row r="11" spans="2:8" x14ac:dyDescent="0.25">
      <c r="B11" t="s">
        <v>9</v>
      </c>
      <c r="C11" t="s">
        <v>4</v>
      </c>
      <c r="D11" s="9">
        <v>5</v>
      </c>
      <c r="E11" s="17">
        <v>2</v>
      </c>
      <c r="F11" s="17">
        <v>2.5</v>
      </c>
      <c r="G11" s="17">
        <v>0.5</v>
      </c>
    </row>
    <row r="12" spans="2:8" outlineLevel="1" x14ac:dyDescent="0.25">
      <c r="C12" t="s">
        <v>15</v>
      </c>
      <c r="D12" s="9"/>
      <c r="E12" s="17"/>
      <c r="F12" s="17"/>
      <c r="G12" s="17"/>
    </row>
    <row r="13" spans="2:8" outlineLevel="1" x14ac:dyDescent="0.25">
      <c r="C13" t="s">
        <v>16</v>
      </c>
      <c r="D13" s="9"/>
      <c r="E13" s="17"/>
      <c r="F13" s="17"/>
      <c r="G13" s="17"/>
    </row>
    <row r="14" spans="2:8" outlineLevel="1" x14ac:dyDescent="0.25">
      <c r="B14" s="5"/>
      <c r="C14" s="5" t="s">
        <v>19</v>
      </c>
      <c r="D14" s="11"/>
      <c r="E14" s="19"/>
      <c r="F14" s="19"/>
      <c r="G14" s="19"/>
      <c r="H14" s="5"/>
    </row>
    <row r="15" spans="2:8" x14ac:dyDescent="0.25">
      <c r="B15" t="s">
        <v>10</v>
      </c>
      <c r="C15" t="s">
        <v>5</v>
      </c>
      <c r="D15" s="9">
        <v>2</v>
      </c>
      <c r="E15" s="17">
        <v>1.25</v>
      </c>
      <c r="F15" s="17"/>
      <c r="G15" s="17">
        <v>0.75</v>
      </c>
    </row>
    <row r="16" spans="2:8" outlineLevel="1" x14ac:dyDescent="0.25">
      <c r="C16" t="s">
        <v>20</v>
      </c>
      <c r="D16" s="9"/>
      <c r="E16" s="17"/>
      <c r="F16" s="17"/>
      <c r="G16" s="17"/>
    </row>
    <row r="17" spans="2:8" outlineLevel="1" x14ac:dyDescent="0.25">
      <c r="B17" s="5"/>
      <c r="C17" s="5" t="s">
        <v>21</v>
      </c>
      <c r="D17" s="11"/>
      <c r="E17" s="19"/>
      <c r="F17" s="19"/>
      <c r="G17" s="19"/>
      <c r="H17" s="5"/>
    </row>
    <row r="18" spans="2:8" x14ac:dyDescent="0.25">
      <c r="B18" t="s">
        <v>11</v>
      </c>
      <c r="C18" t="s">
        <v>6</v>
      </c>
      <c r="D18" s="9">
        <v>1.5</v>
      </c>
      <c r="E18" s="17">
        <v>0.5</v>
      </c>
      <c r="F18" s="17"/>
      <c r="G18" s="17">
        <v>1</v>
      </c>
    </row>
    <row r="19" spans="2:8" outlineLevel="1" x14ac:dyDescent="0.25">
      <c r="B19" s="5"/>
      <c r="C19" s="5" t="s">
        <v>22</v>
      </c>
      <c r="D19" s="11"/>
      <c r="E19" s="19"/>
      <c r="F19" s="19"/>
      <c r="G19" s="19"/>
      <c r="H19" s="5"/>
    </row>
    <row r="20" spans="2:8" x14ac:dyDescent="0.25">
      <c r="D20" s="9">
        <f>SUM(D5:D18)</f>
        <v>12</v>
      </c>
      <c r="E20" s="17">
        <f t="shared" ref="E20:G20" si="0">SUM(E5:E18)</f>
        <v>5.75</v>
      </c>
      <c r="F20" s="17">
        <f t="shared" si="0"/>
        <v>3.5</v>
      </c>
      <c r="G20" s="17">
        <f t="shared" si="0"/>
        <v>2.75</v>
      </c>
      <c r="H20" t="s">
        <v>28</v>
      </c>
    </row>
    <row r="21" spans="2:8" x14ac:dyDescent="0.25">
      <c r="B21" s="5"/>
      <c r="C21" s="5"/>
      <c r="D21" s="13">
        <f>D20*6500</f>
        <v>78000</v>
      </c>
      <c r="E21" s="21">
        <f t="shared" ref="E21:G21" si="1">E20*6500</f>
        <v>37375</v>
      </c>
      <c r="F21" s="21">
        <f t="shared" si="1"/>
        <v>22750</v>
      </c>
      <c r="G21" s="21">
        <f t="shared" si="1"/>
        <v>17875</v>
      </c>
      <c r="H21" s="5" t="s">
        <v>29</v>
      </c>
    </row>
    <row r="22" spans="2:8" x14ac:dyDescent="0.25">
      <c r="C22" t="s">
        <v>23</v>
      </c>
      <c r="D22" s="14"/>
      <c r="E22" s="22"/>
      <c r="F22" s="22"/>
      <c r="G22" s="22"/>
    </row>
    <row r="23" spans="2:8" x14ac:dyDescent="0.25">
      <c r="B23" t="s">
        <v>24</v>
      </c>
      <c r="C23" t="s">
        <v>25</v>
      </c>
      <c r="D23" s="14">
        <v>12000</v>
      </c>
      <c r="E23" s="22">
        <v>6000</v>
      </c>
      <c r="F23" s="22">
        <v>0</v>
      </c>
      <c r="G23" s="22">
        <v>6000</v>
      </c>
    </row>
    <row r="24" spans="2:8" x14ac:dyDescent="0.25">
      <c r="B24" s="5" t="s">
        <v>27</v>
      </c>
      <c r="C24" s="5" t="s">
        <v>26</v>
      </c>
      <c r="D24" s="13">
        <v>8000</v>
      </c>
      <c r="E24" s="21">
        <v>4000</v>
      </c>
      <c r="F24" s="21">
        <v>0</v>
      </c>
      <c r="G24" s="21">
        <v>4000</v>
      </c>
      <c r="H24" s="5"/>
    </row>
    <row r="25" spans="2:8" x14ac:dyDescent="0.25">
      <c r="D25" s="14">
        <f>0.25*SUM(D21:D24)</f>
        <v>24500</v>
      </c>
      <c r="E25" s="22">
        <f>0.25*SUM(E21:E24)</f>
        <v>11843.75</v>
      </c>
      <c r="F25" s="22">
        <f>0.25*SUM(F21:F24)</f>
        <v>5687.5</v>
      </c>
      <c r="G25" s="22">
        <f>0.25*SUM(G21:G24)</f>
        <v>6968.75</v>
      </c>
      <c r="H25" t="s">
        <v>30</v>
      </c>
    </row>
    <row r="26" spans="2:8" x14ac:dyDescent="0.25">
      <c r="D26" s="14"/>
      <c r="E26" s="22"/>
      <c r="F26" s="22"/>
      <c r="G26" s="22"/>
    </row>
    <row r="27" spans="2:8" x14ac:dyDescent="0.25">
      <c r="D27" s="15">
        <f>D25+D24+D23+D21</f>
        <v>122500</v>
      </c>
      <c r="E27" s="23">
        <f>E25+E24+E23+E21</f>
        <v>59218.75</v>
      </c>
      <c r="F27" s="23">
        <f>F25+F24+F23+F21</f>
        <v>28437.5</v>
      </c>
      <c r="G27" s="23">
        <f>G25+G24+G23+G21</f>
        <v>34843.75</v>
      </c>
      <c r="H27" s="1" t="s">
        <v>32</v>
      </c>
    </row>
  </sheetData>
  <pageMargins left="0.7" right="0.7" top="0.75" bottom="0.75" header="0.3" footer="0.3"/>
  <pageSetup paperSize="9" scale="67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CA9B0514094C44B992F0BAF7421ECE4" ma:contentTypeVersion="19" ma:contentTypeDescription="Criar um novo documento." ma:contentTypeScope="" ma:versionID="69b05bc00c8e32fd97d2a25aa8788af1">
  <xsd:schema xmlns:xsd="http://www.w3.org/2001/XMLSchema" xmlns:xs="http://www.w3.org/2001/XMLSchema" xmlns:p="http://schemas.microsoft.com/office/2006/metadata/properties" xmlns:ns2="d6748c42-6151-4e6c-8ce4-cdac0d2b2695" xmlns:ns3="b0a7305d-17f5-42a4-be3c-26029d7d944a" targetNamespace="http://schemas.microsoft.com/office/2006/metadata/properties" ma:root="true" ma:fieldsID="043b7d671fa3a7d9e151d5c5fea4f44f" ns2:_="" ns3:_="">
    <xsd:import namespace="d6748c42-6151-4e6c-8ce4-cdac0d2b2695"/>
    <xsd:import namespace="b0a7305d-17f5-42a4-be3c-26029d7d94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48c42-6151-4e6c-8ce4-cdac0d2b26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m" ma:readOnly="false" ma:fieldId="{5cf76f15-5ced-4ddc-b409-7134ff3c332f}" ma:taxonomyMulti="true" ma:sspId="d4ebb12d-27da-497f-8904-e830a8feb6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7305d-17f5-42a4-be3c-26029d7d944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68fe35-b106-4004-847b-46a2c933b0b6}" ma:internalName="TaxCatchAll" ma:showField="CatchAllData" ma:web="b0a7305d-17f5-42a4-be3c-26029d7d94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748c42-6151-4e6c-8ce4-cdac0d2b2695">
      <Terms xmlns="http://schemas.microsoft.com/office/infopath/2007/PartnerControls"/>
    </lcf76f155ced4ddcb4097134ff3c332f>
    <TaxCatchAll xmlns="b0a7305d-17f5-42a4-be3c-26029d7d944a" xsi:nil="true"/>
  </documentManagement>
</p:properties>
</file>

<file path=customXml/itemProps1.xml><?xml version="1.0" encoding="utf-8"?>
<ds:datastoreItem xmlns:ds="http://schemas.openxmlformats.org/officeDocument/2006/customXml" ds:itemID="{74D6113F-FAC3-4042-86F4-ACFB91F8C0DE}"/>
</file>

<file path=customXml/itemProps2.xml><?xml version="1.0" encoding="utf-8"?>
<ds:datastoreItem xmlns:ds="http://schemas.openxmlformats.org/officeDocument/2006/customXml" ds:itemID="{C3EA7D92-882F-4462-9ED4-480A5421597B}"/>
</file>

<file path=customXml/itemProps3.xml><?xml version="1.0" encoding="utf-8"?>
<ds:datastoreItem xmlns:ds="http://schemas.openxmlformats.org/officeDocument/2006/customXml" ds:itemID="{A0D90A93-4F4E-458E-AAA5-998C0BDD66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Sonae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</dc:creator>
  <cp:lastModifiedBy>Tiago</cp:lastModifiedBy>
  <cp:lastPrinted>2016-02-08T11:43:41Z</cp:lastPrinted>
  <dcterms:created xsi:type="dcterms:W3CDTF">2016-02-08T10:53:11Z</dcterms:created>
  <dcterms:modified xsi:type="dcterms:W3CDTF">2016-02-11T09:23:41Z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0x010100ACA9B0514094C44B992F0BAF7421ECE4</vt:lpwstr>
  </property>
</Properties>
</file>