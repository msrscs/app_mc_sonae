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naesystems-my.sharepoint.com/personal/bdbarbosa_mc_pt/Documents/Desktop/Produção de Timesheets/"/>
    </mc:Choice>
  </mc:AlternateContent>
  <xr:revisionPtr revIDLastSave="75" documentId="14_{C22A4D73-1CDB-4837-BF14-8DF8EC79CA0C}" xr6:coauthVersionLast="47" xr6:coauthVersionMax="47" xr10:uidLastSave="{F55FE065-08C7-49ED-AED6-0A8E36328C80}"/>
  <bookViews>
    <workbookView xWindow="-80" yWindow="-80" windowWidth="19360" windowHeight="11440" xr2:uid="{2E03FD53-BF74-4164-9854-378AF7F6464A}"/>
  </bookViews>
  <sheets>
    <sheet name="jan2024_jun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3" i="1" s="1"/>
  <c r="F13" i="1" l="1"/>
  <c r="G13" i="1"/>
  <c r="H13" i="1"/>
  <c r="H22" i="1" s="1"/>
  <c r="H23" i="1" s="1"/>
  <c r="I13" i="1"/>
  <c r="J13" i="1"/>
  <c r="K13" i="1"/>
  <c r="L13" i="1"/>
  <c r="L22" i="1" s="1"/>
  <c r="L23" i="1" s="1"/>
  <c r="M13" i="1"/>
  <c r="M22" i="1" s="1"/>
  <c r="M23" i="1" s="1"/>
  <c r="N13" i="1"/>
  <c r="N22" i="1" s="1"/>
  <c r="N23" i="1" s="1"/>
  <c r="O13" i="1"/>
  <c r="P13" i="1"/>
  <c r="Q13" i="1"/>
  <c r="Q22" i="1" s="1"/>
  <c r="Q23" i="1" s="1"/>
  <c r="R13" i="1"/>
  <c r="R22" i="1" s="1"/>
  <c r="R23" i="1" s="1"/>
  <c r="S13" i="1"/>
  <c r="S22" i="1" s="1"/>
  <c r="S23" i="1" s="1"/>
  <c r="G22" i="1"/>
  <c r="G23" i="1" s="1"/>
  <c r="B13" i="1"/>
  <c r="K22" i="1" l="1"/>
  <c r="K23" i="1" s="1"/>
  <c r="J22" i="1"/>
  <c r="J23" i="1" s="1"/>
  <c r="I22" i="1"/>
  <c r="I23" i="1" s="1"/>
  <c r="F22" i="1"/>
  <c r="F23" i="1" s="1"/>
  <c r="P22" i="1"/>
  <c r="P23" i="1" s="1"/>
  <c r="O22" i="1"/>
  <c r="O23" i="1" s="1"/>
  <c r="E13" i="1"/>
  <c r="E22" i="1" s="1"/>
  <c r="D13" i="1"/>
  <c r="D22" i="1" s="1"/>
  <c r="C13" i="1"/>
  <c r="C22" i="1" s="1"/>
  <c r="C23" i="1" l="1"/>
  <c r="D23" i="1"/>
  <c r="E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BARBOSA Beatriz Daniela</author>
  </authors>
  <commentList>
    <comment ref="A14" authorId="0" shapeId="0" xr:uid="{E191E660-930C-44A3-BB8F-311A7D8CEC9F}">
      <text>
        <r>
          <rPr>
            <b/>
            <sz val="9"/>
            <color indexed="81"/>
            <rFont val="Tahoma"/>
            <family val="2"/>
          </rPr>
          <t>BARBOSA Beatriz Daniela:</t>
        </r>
        <r>
          <rPr>
            <sz val="9"/>
            <color indexed="81"/>
            <rFont val="Tahoma"/>
            <family val="2"/>
          </rPr>
          <t xml:space="preserve">
De acordo com o recebo de vencimento </t>
        </r>
      </text>
    </comment>
    <comment ref="B15" authorId="0" shapeId="0" xr:uid="{DF2F8880-7121-4CBE-8883-810EEFAA1CF4}">
      <text>
        <r>
          <rPr>
            <b/>
            <sz val="9"/>
            <color indexed="81"/>
            <rFont val="Tahoma"/>
            <family val="2"/>
          </rPr>
          <t>BARBOSA Beatriz Daniela:</t>
        </r>
        <r>
          <rPr>
            <sz val="9"/>
            <color indexed="81"/>
            <rFont val="Tahoma"/>
            <family val="2"/>
          </rPr>
          <t xml:space="preserve">
Em horas, Dias x 8
</t>
        </r>
      </text>
    </comment>
  </commentList>
</comments>
</file>

<file path=xl/sharedStrings.xml><?xml version="1.0" encoding="utf-8"?>
<sst xmlns="http://schemas.openxmlformats.org/spreadsheetml/2006/main" count="19" uniqueCount="19">
  <si>
    <t>Mapa de horas trabalhadas</t>
  </si>
  <si>
    <t>Jornada diária</t>
  </si>
  <si>
    <t>Nº de dias úteis trabalháveis (*)</t>
  </si>
  <si>
    <t>Horas trabalháveis potenciais</t>
  </si>
  <si>
    <t>Férias/Baixas/Licenças/Faltas</t>
  </si>
  <si>
    <t>Outras atividades</t>
  </si>
  <si>
    <t>TOTAL</t>
  </si>
  <si>
    <t>Colaborador</t>
  </si>
  <si>
    <t>Gestor de Projecto</t>
  </si>
  <si>
    <t>Projecto ATE</t>
  </si>
  <si>
    <t>Entidade: XXX</t>
  </si>
  <si>
    <t>Projeto X</t>
  </si>
  <si>
    <t>Projeto Y</t>
  </si>
  <si>
    <t>Projeto Z</t>
  </si>
  <si>
    <t>Projeto A</t>
  </si>
  <si>
    <t>Projeto B</t>
  </si>
  <si>
    <t>Projeto C</t>
  </si>
  <si>
    <t>Projeto D</t>
  </si>
  <si>
    <t>Colaborador:  nº 362099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</si>
</sst>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&quot;-&quot;"/>
    <numFmt numFmtId="165" formatCode="[$-816]mmm/yy;@"/>
    <numFmt numFmtId="166" formatCode="#,##0.00_ ;\-#,##0.00\ "/>
  </numFmts>
  <fonts count="15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sz val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b/>
      <sz val="9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 style="thin">
        <color rgb="FFA5A5A5"/>
      </right>
      <top style="thin">
        <color rgb="FFFFFFFF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B0F0"/>
      </bottom>
      <diagonal/>
    </border>
    <border>
      <left style="thin">
        <color rgb="FFA5A5A5"/>
      </left>
      <right style="thin">
        <color rgb="FFA5A5A5"/>
      </right>
      <top style="thin">
        <color rgb="FF00B0F0"/>
      </top>
      <bottom style="thin">
        <color rgb="FFA5A5A5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 applyAlignment="1">
      <alignment horizontal="left" vertical="center"/>
    </xf>
    <xf numFmtId="166" fontId="0" fillId="0" borderId="0" xfId="0" applyNumberFormat="1"/>
    <xf numFmtId="0" fontId="11" fillId="0" borderId="0" xfId="0" applyFont="1"/>
    <xf numFmtId="0" fontId="7" fillId="2" borderId="3" xfId="1" applyFont="1" applyFill="1" applyBorder="1" applyAlignment="1">
      <alignment horizontal="center" vertical="center"/>
    </xf>
    <xf numFmtId="2" fontId="7" fillId="2" borderId="3" xfId="1" applyNumberFormat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2" fontId="7" fillId="2" borderId="4" xfId="1" applyNumberFormat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2" fontId="9" fillId="2" borderId="5" xfId="1" applyNumberFormat="1" applyFont="1" applyFill="1" applyBorder="1" applyAlignment="1">
      <alignment horizontal="center" vertical="center"/>
    </xf>
    <xf numFmtId="164" fontId="7" fillId="0" borderId="6" xfId="1" applyNumberFormat="1" applyFont="1" applyBorder="1" applyAlignment="1">
      <alignment horizontal="center" vertical="center"/>
    </xf>
    <xf numFmtId="2" fontId="12" fillId="2" borderId="5" xfId="1" applyNumberFormat="1" applyFont="1" applyFill="1" applyBorder="1" applyAlignment="1">
      <alignment horizontal="center" vertical="center"/>
    </xf>
    <xf numFmtId="2" fontId="6" fillId="0" borderId="7" xfId="1" applyNumberFormat="1" applyFont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165" fontId="10" fillId="3" borderId="8" xfId="1" quotePrefix="1" applyNumberFormat="1" applyFont="1" applyFill="1" applyBorder="1" applyAlignment="1">
      <alignment horizontal="center" vertical="center"/>
    </xf>
    <xf numFmtId="2" fontId="6" fillId="3" borderId="9" xfId="1" applyNumberFormat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2" fontId="7" fillId="3" borderId="8" xfId="1" applyNumberFormat="1" applyFont="1" applyFill="1" applyBorder="1" applyAlignment="1">
      <alignment horizontal="center" vertical="center"/>
    </xf>
    <xf numFmtId="2" fontId="7" fillId="3" borderId="9" xfId="1" applyNumberFormat="1" applyFont="1" applyFill="1" applyBorder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left"/>
    </xf>
  </cellXfs>
  <cellStyles count="2">
    <cellStyle name="Normal" xfId="0" builtinId="0"/>
    <cellStyle name="Normal 2" xfId="1" xr:uid="{18B230FC-C5AA-4843-9C4F-A2DD7FED66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5F22-2F18-4FA2-8EA4-51D1DE8E6231}">
  <sheetPr>
    <tabColor rgb="FF00B0F0"/>
    <pageSetUpPr fitToPage="1"/>
  </sheetPr>
  <dimension ref="A1:T29"/>
  <sheetViews>
    <sheetView tabSelected="1" zoomScale="71" zoomScaleNormal="100" workbookViewId="0">
      <selection activeCell="I8" sqref="I8"/>
    </sheetView>
  </sheetViews>
  <sheetFormatPr defaultRowHeight="14.5" x14ac:dyDescent="0.35"/>
  <cols>
    <col min="1" max="1" width="34.453125" style="3" customWidth="1"/>
    <col min="5" max="6" width="8.81640625" bestFit="1" customWidth="1"/>
    <col min="7" max="7" width="8.453125" customWidth="1"/>
    <col min="8" max="22" width="8.81640625" bestFit="1" customWidth="1"/>
  </cols>
  <sheetData>
    <row r="1" spans="1:20" s="1" customFormat="1" ht="16.399999999999999" customHeight="1" x14ac:dyDescent="0.3"/>
    <row r="2" spans="1:20" s="1" customFormat="1" ht="16.399999999999999" customHeight="1" x14ac:dyDescent="0.3">
      <c r="A2" s="1" t="s">
        <v>10</v>
      </c>
    </row>
    <row r="3" spans="1:20" s="1" customFormat="1" ht="14.25" customHeight="1" x14ac:dyDescent="0.3"/>
    <row r="4" spans="1:20" s="1" customFormat="1" ht="14.25" customHeight="1" x14ac:dyDescent="0.3"/>
    <row r="5" spans="1:20" s="1" customFormat="1" ht="16.399999999999999" customHeight="1" x14ac:dyDescent="0.35">
      <c r="A5" s="2" t="s">
        <v>9</v>
      </c>
    </row>
    <row r="6" spans="1:20" s="1" customFormat="1" ht="16.399999999999999" customHeight="1" x14ac:dyDescent="0.35">
      <c r="A6" s="24" t="s">
        <v>18</v>
      </c>
      <c r="B6" s="24"/>
      <c r="C6" s="24"/>
      <c r="D6" s="24"/>
      <c r="E6" s="24"/>
    </row>
    <row r="9" spans="1:20" s="3" customFormat="1" ht="15" customHeight="1" x14ac:dyDescent="0.35">
      <c r="A9" s="7"/>
      <c r="B9" s="17" t="s">
        <v>0</v>
      </c>
      <c r="C9" s="17"/>
      <c r="D9" s="17"/>
      <c r="E9" s="17"/>
      <c r="F9"/>
      <c r="G9"/>
    </row>
    <row r="10" spans="1:20" s="3" customFormat="1" ht="15" customHeight="1" x14ac:dyDescent="0.35">
      <c r="A10" s="7"/>
      <c r="B10" s="18">
        <v>45292</v>
      </c>
      <c r="C10" s="18">
        <v>45323</v>
      </c>
      <c r="D10" s="18">
        <v>45352</v>
      </c>
      <c r="E10" s="18">
        <v>45383</v>
      </c>
      <c r="F10" s="18">
        <v>45413</v>
      </c>
      <c r="G10" s="18">
        <v>45444</v>
      </c>
      <c r="H10" s="18">
        <v>45474</v>
      </c>
      <c r="I10" s="18">
        <v>45505</v>
      </c>
      <c r="J10" s="18">
        <v>45536</v>
      </c>
      <c r="K10" s="18">
        <v>45566</v>
      </c>
      <c r="L10" s="18">
        <v>45597</v>
      </c>
      <c r="M10" s="18">
        <v>45627</v>
      </c>
      <c r="N10" s="18">
        <v>45658</v>
      </c>
      <c r="O10" s="18">
        <v>45689</v>
      </c>
      <c r="P10" s="18">
        <v>45717</v>
      </c>
      <c r="Q10" s="18">
        <v>45748</v>
      </c>
      <c r="R10" s="18">
        <v>45778</v>
      </c>
      <c r="S10" s="18">
        <v>45809</v>
      </c>
    </row>
    <row r="11" spans="1:20" s="3" customFormat="1" ht="15" customHeight="1" x14ac:dyDescent="0.35">
      <c r="A11" s="8" t="s">
        <v>1</v>
      </c>
      <c r="B11" s="21">
        <v>8</v>
      </c>
      <c r="C11" s="9">
        <v>8</v>
      </c>
      <c r="D11" s="9">
        <v>8</v>
      </c>
      <c r="E11" s="9">
        <v>8</v>
      </c>
      <c r="F11" s="9">
        <v>8</v>
      </c>
      <c r="G11" s="9">
        <v>8</v>
      </c>
      <c r="H11" s="9">
        <v>8</v>
      </c>
      <c r="I11" s="9">
        <v>8</v>
      </c>
      <c r="J11" s="9">
        <v>8</v>
      </c>
      <c r="K11" s="9">
        <v>8</v>
      </c>
      <c r="L11" s="9">
        <v>8</v>
      </c>
      <c r="M11" s="9">
        <v>8</v>
      </c>
      <c r="N11" s="9">
        <v>8</v>
      </c>
      <c r="O11" s="9">
        <v>8</v>
      </c>
      <c r="P11" s="9">
        <v>8</v>
      </c>
      <c r="Q11" s="9">
        <v>8</v>
      </c>
      <c r="R11" s="9">
        <v>8</v>
      </c>
      <c r="S11" s="9">
        <v>8</v>
      </c>
    </row>
    <row r="12" spans="1:20" s="3" customFormat="1" ht="15" customHeight="1" x14ac:dyDescent="0.35">
      <c r="A12" s="10" t="s">
        <v>2</v>
      </c>
      <c r="B12" s="22">
        <v>22</v>
      </c>
      <c r="C12" s="11">
        <v>21</v>
      </c>
      <c r="D12" s="11">
        <v>20</v>
      </c>
      <c r="E12" s="11">
        <v>21</v>
      </c>
      <c r="F12" s="11">
        <v>21</v>
      </c>
      <c r="G12" s="11">
        <v>19</v>
      </c>
      <c r="H12" s="11">
        <v>23</v>
      </c>
      <c r="I12" s="11">
        <v>21</v>
      </c>
      <c r="J12" s="11">
        <v>21</v>
      </c>
      <c r="K12" s="11">
        <v>23</v>
      </c>
      <c r="L12" s="11">
        <v>20</v>
      </c>
      <c r="M12" s="11">
        <v>21</v>
      </c>
      <c r="N12" s="11">
        <v>22</v>
      </c>
      <c r="O12" s="11">
        <v>20</v>
      </c>
      <c r="P12" s="11">
        <v>21</v>
      </c>
      <c r="Q12" s="11">
        <v>20</v>
      </c>
      <c r="R12" s="11">
        <v>21</v>
      </c>
      <c r="S12" s="11">
        <v>19</v>
      </c>
      <c r="T12" s="23"/>
    </row>
    <row r="13" spans="1:20" s="3" customFormat="1" ht="15" customHeight="1" x14ac:dyDescent="0.35">
      <c r="A13" s="12" t="s">
        <v>3</v>
      </c>
      <c r="B13" s="19">
        <f t="shared" ref="B13" si="0">B12*B11</f>
        <v>176</v>
      </c>
      <c r="C13" s="19">
        <f t="shared" ref="C13:E13" si="1">C12*C11</f>
        <v>168</v>
      </c>
      <c r="D13" s="19">
        <f t="shared" si="1"/>
        <v>160</v>
      </c>
      <c r="E13" s="19">
        <f t="shared" si="1"/>
        <v>168</v>
      </c>
      <c r="F13" s="19">
        <f t="shared" ref="F13:S13" si="2">F12*F11</f>
        <v>168</v>
      </c>
      <c r="G13" s="19">
        <f t="shared" si="2"/>
        <v>152</v>
      </c>
      <c r="H13" s="19">
        <f t="shared" si="2"/>
        <v>184</v>
      </c>
      <c r="I13" s="19">
        <f t="shared" si="2"/>
        <v>168</v>
      </c>
      <c r="J13" s="19">
        <f t="shared" si="2"/>
        <v>168</v>
      </c>
      <c r="K13" s="19">
        <f t="shared" si="2"/>
        <v>184</v>
      </c>
      <c r="L13" s="19">
        <f t="shared" si="2"/>
        <v>160</v>
      </c>
      <c r="M13" s="19">
        <f t="shared" si="2"/>
        <v>168</v>
      </c>
      <c r="N13" s="19">
        <f t="shared" si="2"/>
        <v>176</v>
      </c>
      <c r="O13" s="19">
        <f t="shared" si="2"/>
        <v>160</v>
      </c>
      <c r="P13" s="19">
        <f t="shared" si="2"/>
        <v>168</v>
      </c>
      <c r="Q13" s="19">
        <f t="shared" si="2"/>
        <v>160</v>
      </c>
      <c r="R13" s="19">
        <f t="shared" si="2"/>
        <v>168</v>
      </c>
      <c r="S13" s="19">
        <f t="shared" si="2"/>
        <v>152</v>
      </c>
    </row>
    <row r="14" spans="1:20" s="3" customFormat="1" ht="15" customHeight="1" x14ac:dyDescent="0.35">
      <c r="A14" s="13" t="s">
        <v>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 spans="1:20" s="3" customFormat="1" ht="15" customHeight="1" x14ac:dyDescent="0.35">
      <c r="A15" s="13" t="s">
        <v>11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20" s="3" customFormat="1" ht="15" customHeight="1" x14ac:dyDescent="0.35">
      <c r="A16" s="13" t="s">
        <v>12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s="3" customFormat="1" ht="15" customHeight="1" x14ac:dyDescent="0.35">
      <c r="A17" s="13" t="s">
        <v>13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1:19" s="3" customFormat="1" ht="15" customHeight="1" x14ac:dyDescent="0.35">
      <c r="A18" s="13" t="s">
        <v>14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s="3" customFormat="1" ht="15" customHeight="1" x14ac:dyDescent="0.35">
      <c r="A19" s="13" t="s">
        <v>15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s="3" customFormat="1" ht="15" customHeight="1" x14ac:dyDescent="0.35">
      <c r="A20" s="13" t="s">
        <v>16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s="3" customFormat="1" ht="15" customHeight="1" x14ac:dyDescent="0.35">
      <c r="A21" s="13" t="s">
        <v>17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 spans="1:19" s="3" customFormat="1" ht="15" customHeight="1" x14ac:dyDescent="0.35">
      <c r="A22" s="13" t="s">
        <v>5</v>
      </c>
      <c r="B22" s="14">
        <f>B13-SUM(B14:B21)</f>
        <v>176</v>
      </c>
      <c r="C22" s="14">
        <f t="shared" ref="C22:S22" si="3">C13-SUM(C14:C21)</f>
        <v>168</v>
      </c>
      <c r="D22" s="14">
        <f t="shared" si="3"/>
        <v>160</v>
      </c>
      <c r="E22" s="14">
        <f t="shared" si="3"/>
        <v>168</v>
      </c>
      <c r="F22" s="14">
        <f t="shared" si="3"/>
        <v>168</v>
      </c>
      <c r="G22" s="14">
        <f t="shared" si="3"/>
        <v>152</v>
      </c>
      <c r="H22" s="14">
        <f t="shared" si="3"/>
        <v>184</v>
      </c>
      <c r="I22" s="14">
        <f t="shared" si="3"/>
        <v>168</v>
      </c>
      <c r="J22" s="14">
        <f t="shared" si="3"/>
        <v>168</v>
      </c>
      <c r="K22" s="14">
        <f t="shared" si="3"/>
        <v>184</v>
      </c>
      <c r="L22" s="14">
        <f t="shared" si="3"/>
        <v>160</v>
      </c>
      <c r="M22" s="14">
        <f t="shared" si="3"/>
        <v>168</v>
      </c>
      <c r="N22" s="14">
        <f t="shared" si="3"/>
        <v>176</v>
      </c>
      <c r="O22" s="14">
        <f t="shared" si="3"/>
        <v>160</v>
      </c>
      <c r="P22" s="14">
        <f t="shared" si="3"/>
        <v>168</v>
      </c>
      <c r="Q22" s="14">
        <f t="shared" si="3"/>
        <v>160</v>
      </c>
      <c r="R22" s="14">
        <f t="shared" si="3"/>
        <v>168</v>
      </c>
      <c r="S22" s="14">
        <f t="shared" si="3"/>
        <v>152</v>
      </c>
    </row>
    <row r="23" spans="1:19" x14ac:dyDescent="0.35">
      <c r="A23" s="15" t="s">
        <v>6</v>
      </c>
      <c r="B23" s="16">
        <f>SUM(B14:B22)</f>
        <v>176</v>
      </c>
      <c r="C23" s="16">
        <f>SUM(C14:C22)</f>
        <v>168</v>
      </c>
      <c r="D23" s="16">
        <f>SUM(D14:D22)</f>
        <v>160</v>
      </c>
      <c r="E23" s="16">
        <f>SUM(E14:E22)</f>
        <v>168</v>
      </c>
      <c r="F23" s="16">
        <f t="shared" ref="F23:S23" si="4">SUM(F14:F22)</f>
        <v>168</v>
      </c>
      <c r="G23" s="16">
        <f t="shared" si="4"/>
        <v>152</v>
      </c>
      <c r="H23" s="16">
        <f t="shared" si="4"/>
        <v>184</v>
      </c>
      <c r="I23" s="16">
        <f t="shared" si="4"/>
        <v>168</v>
      </c>
      <c r="J23" s="16">
        <f t="shared" si="4"/>
        <v>168</v>
      </c>
      <c r="K23" s="16">
        <f t="shared" si="4"/>
        <v>184</v>
      </c>
      <c r="L23" s="16">
        <f t="shared" si="4"/>
        <v>160</v>
      </c>
      <c r="M23" s="16">
        <f t="shared" si="4"/>
        <v>168</v>
      </c>
      <c r="N23" s="16">
        <f t="shared" si="4"/>
        <v>176</v>
      </c>
      <c r="O23" s="16">
        <f t="shared" si="4"/>
        <v>160</v>
      </c>
      <c r="P23" s="16">
        <f t="shared" si="4"/>
        <v>168</v>
      </c>
      <c r="Q23" s="16">
        <f t="shared" si="4"/>
        <v>160</v>
      </c>
      <c r="R23" s="16">
        <f t="shared" si="4"/>
        <v>168</v>
      </c>
      <c r="S23" s="16">
        <f t="shared" si="4"/>
        <v>152</v>
      </c>
    </row>
    <row r="24" spans="1:19" x14ac:dyDescent="0.35">
      <c r="I24" s="6"/>
    </row>
    <row r="27" spans="1:19" s="3" customFormat="1" ht="15" customHeight="1" x14ac:dyDescent="0.35">
      <c r="A27" s="5" t="s">
        <v>7</v>
      </c>
      <c r="F27" s="5" t="s">
        <v>8</v>
      </c>
    </row>
    <row r="28" spans="1:19" x14ac:dyDescent="0.35">
      <c r="F28" s="3"/>
    </row>
    <row r="29" spans="1:19" s="3" customFormat="1" ht="15.75" customHeight="1" thickBot="1" x14ac:dyDescent="0.4">
      <c r="A29" s="4"/>
      <c r="B29" s="4"/>
      <c r="C29" s="4"/>
      <c r="D29" s="4"/>
      <c r="F29" s="4"/>
      <c r="G29" s="4"/>
      <c r="H29" s="4"/>
      <c r="I29" s="4"/>
    </row>
  </sheetData>
  <mergeCells count="1">
    <mergeCell ref="A6:E6"/>
  </mergeCells>
  <phoneticPr fontId="8" type="noConversion"/>
  <pageMargins left="0.25" right="0.25" top="0.75" bottom="0.75" header="0.3" footer="0.3"/>
  <pageSetup scale="71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A9B0514094C44B992F0BAF7421ECE4" ma:contentTypeVersion="19" ma:contentTypeDescription="Criar um novo documento." ma:contentTypeScope="" ma:versionID="69b05bc00c8e32fd97d2a25aa8788af1">
  <xsd:schema xmlns:xsd="http://www.w3.org/2001/XMLSchema" xmlns:xs="http://www.w3.org/2001/XMLSchema" xmlns:p="http://schemas.microsoft.com/office/2006/metadata/properties" xmlns:ns2="d6748c42-6151-4e6c-8ce4-cdac0d2b2695" xmlns:ns3="b0a7305d-17f5-42a4-be3c-26029d7d944a" targetNamespace="http://schemas.microsoft.com/office/2006/metadata/properties" ma:root="true" ma:fieldsID="043b7d671fa3a7d9e151d5c5fea4f44f" ns2:_="" ns3:_="">
    <xsd:import namespace="d6748c42-6151-4e6c-8ce4-cdac0d2b2695"/>
    <xsd:import namespace="b0a7305d-17f5-42a4-be3c-26029d7d9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8c42-6151-4e6c-8ce4-cdac0d2b2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d4ebb12d-27da-497f-8904-e830a8feb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7305d-17f5-42a4-be3c-26029d7d9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68fe35-b106-4004-847b-46a2c933b0b6}" ma:internalName="TaxCatchAll" ma:showField="CatchAllData" ma:web="b0a7305d-17f5-42a4-be3c-26029d7d9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48c42-6151-4e6c-8ce4-cdac0d2b2695">
      <Terms xmlns="http://schemas.microsoft.com/office/infopath/2007/PartnerControls"/>
    </lcf76f155ced4ddcb4097134ff3c332f>
    <TaxCatchAll xmlns="b0a7305d-17f5-42a4-be3c-26029d7d944a" xsi:nil="true"/>
    <SharedWithUsers xmlns="b0a7305d-17f5-42a4-be3c-26029d7d944a">
      <UserInfo>
        <DisplayName>ALBERGARIA Sergio Soares</DisplayName>
        <AccountId>2319</AccountId>
        <AccountType/>
      </UserInfo>
      <UserInfo>
        <DisplayName>SANTOS Angela Faria</DisplayName>
        <AccountId>2202</AccountId>
        <AccountType/>
      </UserInfo>
      <UserInfo>
        <DisplayName>CAMPINHO Carla Filipa</DisplayName>
        <AccountId>2491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220751-FB30-4577-ACCB-8217ACB0A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748c42-6151-4e6c-8ce4-cdac0d2b2695"/>
    <ds:schemaRef ds:uri="b0a7305d-17f5-42a4-be3c-26029d7d9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947BE6-8759-406B-B6F9-499FF7B91CE6}">
  <ds:schemaRefs>
    <ds:schemaRef ds:uri="b0a7305d-17f5-42a4-be3c-26029d7d944a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6748c42-6151-4e6c-8ce4-cdac0d2b269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C43719-6589-4FFF-B071-E7943230C0B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757a8da-0477-46d4-bc8a-b0feabdcc71a}" enabled="0" method="" siteId="{5757a8da-0477-46d4-bc8a-b0feabdcc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jan2024_jun2025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LUROD</dc:creator>
  <cp:keywords/>
  <dc:description/>
  <cp:lastModifiedBy>BARBOSA Beatriz Daniela</cp:lastModifiedBy>
  <cp:revision/>
  <cp:lastPrinted>2024-03-11T15:34:18Z</cp:lastPrinted>
  <dcterms:created xsi:type="dcterms:W3CDTF">2023-07-31T14:19:46Z</dcterms:created>
  <dcterms:modified xsi:type="dcterms:W3CDTF">2025-10-23T10:21:24Z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0x010100ACA9B0514094C44B992F0BAF7421ECE4</vt:lpwstr>
  </property>
  <property fmtid="{D5CDD505-2E9C-101B-9397-08002B2CF9AE}" pid="3" name="MediaServiceImageTags">
    <vt:lpwstr/>
  </property>
</Properties>
</file>